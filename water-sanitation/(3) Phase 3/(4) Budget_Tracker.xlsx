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 defaultThemeVersion="166925"/>
  <xr:revisionPtr revIDLastSave="340" documentId="11_7CCF06BD9B3272818F38B71D123FD84622C1BBBF" xr6:coauthVersionLast="47" xr6:coauthVersionMax="47" xr10:uidLastSave="{AD9EBA44-4A25-47B7-90B0-11442688C19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43" i="1"/>
  <c r="E42" i="1"/>
  <c r="E41" i="1"/>
  <c r="E40" i="1"/>
  <c r="E39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3" i="1" s="1"/>
  <c r="E56" i="1" s="1"/>
</calcChain>
</file>

<file path=xl/sharedStrings.xml><?xml version="1.0" encoding="utf-8"?>
<sst xmlns="http://schemas.openxmlformats.org/spreadsheetml/2006/main" count="86" uniqueCount="49">
  <si>
    <t>Description</t>
  </si>
  <si>
    <t>Material/Item</t>
  </si>
  <si>
    <t>quantity</t>
  </si>
  <si>
    <t>cost/each</t>
  </si>
  <si>
    <t>final cost</t>
  </si>
  <si>
    <t>rental</t>
  </si>
  <si>
    <t>3dPrint/LaserCut</t>
  </si>
  <si>
    <t>Trough</t>
  </si>
  <si>
    <t>Stepper motor Nema 17</t>
  </si>
  <si>
    <t>Capacitor 100uF 16V</t>
  </si>
  <si>
    <t>final sale</t>
  </si>
  <si>
    <t>Stepper motor driver A4988</t>
  </si>
  <si>
    <t>DC Barrel Adapter - BrdBrd</t>
  </si>
  <si>
    <t>AC-DC power supply 12V 5A</t>
  </si>
  <si>
    <t>Flexible plywood 12/64"</t>
  </si>
  <si>
    <t>Plywood 1/4" - Large</t>
  </si>
  <si>
    <t>Laser Cutting</t>
  </si>
  <si>
    <t>LaserCut</t>
  </si>
  <si>
    <t>Switch SPST</t>
  </si>
  <si>
    <t>M3 pitch 0.50- 40mm</t>
  </si>
  <si>
    <t>not specified</t>
  </si>
  <si>
    <t>M3 pitch 0.50- 12mm</t>
  </si>
  <si>
    <t>Plywood 1/2" - Large</t>
  </si>
  <si>
    <t>Trough + coupling 3D print</t>
  </si>
  <si>
    <t>3dPrint</t>
  </si>
  <si>
    <t>Coupling 3D print</t>
  </si>
  <si>
    <t>Case 3D print</t>
  </si>
  <si>
    <t>Valve</t>
  </si>
  <si>
    <t>Dual Motor driver L298N</t>
  </si>
  <si>
    <t>Liquid Level Sensor</t>
  </si>
  <si>
    <t>Thermistor</t>
  </si>
  <si>
    <t>Micro Servo Motor 360</t>
  </si>
  <si>
    <t>Valve 3D printing</t>
  </si>
  <si>
    <t>MG996R Servo motor</t>
  </si>
  <si>
    <t>Arduino Nano RP2040</t>
  </si>
  <si>
    <t>Ball Bearing (8mm ID x 12mm OD)</t>
  </si>
  <si>
    <t>Servo MG995</t>
  </si>
  <si>
    <t>Breadboard S 3.20 x 2.08</t>
  </si>
  <si>
    <t>Birch dowel 5/16"</t>
  </si>
  <si>
    <t>Tanks</t>
  </si>
  <si>
    <t>Boiler 3D print</t>
  </si>
  <si>
    <t>Hot Tank 3D print</t>
  </si>
  <si>
    <t>Cold Tank 3D print</t>
  </si>
  <si>
    <t>LCD alphanumeric display</t>
  </si>
  <si>
    <t>General</t>
  </si>
  <si>
    <t>Flexible Tubing 1/8" I.D., 3/16" O.D,</t>
  </si>
  <si>
    <t>Total:</t>
  </si>
  <si>
    <t>Budget:</t>
  </si>
  <si>
    <t>MONEY LEFT: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</si>
</sst>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F15" sqref="F15"/>
    </sheetView>
  </sheetViews>
  <sheetFormatPr defaultRowHeight="15"/>
  <cols>
    <col min="2" max="2" width="31.140625" customWidth="1"/>
  </cols>
  <sheetData>
    <row r="1" spans="1:7">
      <c r="A1" t="s">
        <v>0</v>
      </c>
    </row>
    <row r="4" spans="1:7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>
      <c r="A5" t="s">
        <v>7</v>
      </c>
    </row>
    <row r="6" spans="1:7">
      <c r="A6">
        <v>1</v>
      </c>
      <c r="B6" t="s">
        <v>8</v>
      </c>
      <c r="C6">
        <v>1</v>
      </c>
      <c r="D6">
        <v>4.3460000000000001</v>
      </c>
      <c r="E6">
        <f>C6*D6</f>
        <v>4.3460000000000001</v>
      </c>
      <c r="F6" t="s">
        <v>5</v>
      </c>
    </row>
    <row r="7" spans="1:7">
      <c r="A7">
        <v>2</v>
      </c>
      <c r="B7" t="s">
        <v>9</v>
      </c>
      <c r="C7">
        <v>1</v>
      </c>
      <c r="D7">
        <v>0.1</v>
      </c>
      <c r="E7">
        <f>C7*D7</f>
        <v>0.1</v>
      </c>
      <c r="F7" t="s">
        <v>10</v>
      </c>
    </row>
    <row r="8" spans="1:7">
      <c r="A8">
        <v>3</v>
      </c>
      <c r="B8" t="s">
        <v>11</v>
      </c>
      <c r="C8">
        <v>1</v>
      </c>
      <c r="D8">
        <v>2.1240000000000001</v>
      </c>
      <c r="E8">
        <f>C8*D8</f>
        <v>2.1240000000000001</v>
      </c>
      <c r="F8" t="s">
        <v>5</v>
      </c>
    </row>
    <row r="9" spans="1:7">
      <c r="A9">
        <v>4</v>
      </c>
      <c r="B9" t="s">
        <v>12</v>
      </c>
      <c r="C9">
        <v>1</v>
      </c>
      <c r="D9">
        <v>0.32600000000000001</v>
      </c>
      <c r="E9">
        <f>C9*D9</f>
        <v>0.32600000000000001</v>
      </c>
      <c r="F9" t="s">
        <v>5</v>
      </c>
    </row>
    <row r="10" spans="1:7">
      <c r="A10">
        <v>5</v>
      </c>
      <c r="B10" t="s">
        <v>13</v>
      </c>
      <c r="C10">
        <v>1</v>
      </c>
      <c r="D10">
        <v>5.2060000000000004</v>
      </c>
      <c r="E10">
        <f>C10*D10</f>
        <v>5.2060000000000004</v>
      </c>
      <c r="F10" t="s">
        <v>5</v>
      </c>
    </row>
    <row r="11" spans="1:7">
      <c r="A11">
        <v>6</v>
      </c>
      <c r="B11" t="s">
        <v>14</v>
      </c>
      <c r="C11">
        <v>1</v>
      </c>
      <c r="D11">
        <v>1.26</v>
      </c>
      <c r="E11">
        <f>C11*D11</f>
        <v>1.26</v>
      </c>
      <c r="F11" t="s">
        <v>10</v>
      </c>
    </row>
    <row r="12" spans="1:7">
      <c r="A12">
        <v>7</v>
      </c>
      <c r="B12" t="s">
        <v>15</v>
      </c>
      <c r="C12">
        <v>1</v>
      </c>
      <c r="D12">
        <v>4.88</v>
      </c>
      <c r="E12">
        <f>C12*D12</f>
        <v>4.88</v>
      </c>
      <c r="F12" t="s">
        <v>10</v>
      </c>
    </row>
    <row r="13" spans="1:7">
      <c r="A13">
        <v>8</v>
      </c>
      <c r="B13" t="s">
        <v>16</v>
      </c>
      <c r="C13">
        <v>1</v>
      </c>
      <c r="D13">
        <v>4.26</v>
      </c>
      <c r="E13">
        <f>C13*D13</f>
        <v>4.26</v>
      </c>
      <c r="G13" t="s">
        <v>17</v>
      </c>
    </row>
    <row r="14" spans="1:7">
      <c r="A14">
        <v>9</v>
      </c>
      <c r="B14" t="s">
        <v>18</v>
      </c>
      <c r="C14">
        <v>4</v>
      </c>
      <c r="D14">
        <v>0.22600000000000001</v>
      </c>
      <c r="E14">
        <f>C14*D14</f>
        <v>0.90400000000000003</v>
      </c>
      <c r="F14" t="s">
        <v>5</v>
      </c>
    </row>
    <row r="15" spans="1:7">
      <c r="A15">
        <v>10</v>
      </c>
      <c r="B15" t="s">
        <v>19</v>
      </c>
      <c r="C15">
        <v>1</v>
      </c>
      <c r="D15">
        <v>0.25</v>
      </c>
      <c r="E15">
        <f>C15*D15</f>
        <v>0.25</v>
      </c>
      <c r="F15" t="s">
        <v>20</v>
      </c>
    </row>
    <row r="16" spans="1:7">
      <c r="A16">
        <v>11</v>
      </c>
      <c r="B16" t="s">
        <v>21</v>
      </c>
      <c r="C16">
        <v>1</v>
      </c>
      <c r="E16">
        <f t="shared" ref="E16:E17" si="0">C16*D16</f>
        <v>0</v>
      </c>
      <c r="F16" t="s">
        <v>20</v>
      </c>
    </row>
    <row r="17" spans="1:7">
      <c r="A17">
        <v>12</v>
      </c>
      <c r="B17" t="s">
        <v>22</v>
      </c>
      <c r="C17">
        <v>1</v>
      </c>
      <c r="D17">
        <v>7.88</v>
      </c>
      <c r="E17">
        <f>C17*D17</f>
        <v>7.88</v>
      </c>
      <c r="F17" s="2" t="s">
        <v>10</v>
      </c>
    </row>
    <row r="18" spans="1:7">
      <c r="A18">
        <v>13</v>
      </c>
      <c r="B18" t="s">
        <v>23</v>
      </c>
      <c r="C18">
        <v>1</v>
      </c>
      <c r="D18">
        <v>2.72</v>
      </c>
      <c r="E18">
        <f t="shared" ref="E18:E20" si="1">C18*D18</f>
        <v>2.72</v>
      </c>
      <c r="F18" s="2"/>
      <c r="G18" t="s">
        <v>24</v>
      </c>
    </row>
    <row r="19" spans="1:7">
      <c r="A19">
        <v>14</v>
      </c>
      <c r="B19" t="s">
        <v>25</v>
      </c>
      <c r="C19">
        <v>1</v>
      </c>
      <c r="D19">
        <v>0.11</v>
      </c>
      <c r="E19">
        <f t="shared" si="1"/>
        <v>0.11</v>
      </c>
      <c r="F19" s="2"/>
      <c r="G19" t="s">
        <v>24</v>
      </c>
    </row>
    <row r="20" spans="1:7">
      <c r="A20">
        <v>15</v>
      </c>
      <c r="B20" t="s">
        <v>26</v>
      </c>
      <c r="C20">
        <v>1</v>
      </c>
      <c r="D20">
        <v>1.73</v>
      </c>
      <c r="E20">
        <f t="shared" si="1"/>
        <v>1.73</v>
      </c>
      <c r="F20" s="2"/>
      <c r="G20" t="s">
        <v>24</v>
      </c>
    </row>
    <row r="22" spans="1:7">
      <c r="A22" t="s">
        <v>27</v>
      </c>
    </row>
    <row r="23" spans="1:7">
      <c r="A23">
        <v>1</v>
      </c>
      <c r="B23" t="s">
        <v>28</v>
      </c>
      <c r="C23">
        <v>2</v>
      </c>
      <c r="D23">
        <v>2.62</v>
      </c>
      <c r="E23">
        <f>C23*D23</f>
        <v>5.24</v>
      </c>
      <c r="F23" t="s">
        <v>20</v>
      </c>
    </row>
    <row r="24" spans="1:7">
      <c r="A24">
        <v>2</v>
      </c>
      <c r="B24" t="s">
        <v>13</v>
      </c>
      <c r="C24">
        <v>2</v>
      </c>
      <c r="D24">
        <v>5.2060000000000004</v>
      </c>
      <c r="E24">
        <f>C24*D24</f>
        <v>10.412000000000001</v>
      </c>
      <c r="F24" t="s">
        <v>5</v>
      </c>
    </row>
    <row r="25" spans="1:7">
      <c r="A25">
        <v>3</v>
      </c>
      <c r="B25" t="s">
        <v>29</v>
      </c>
      <c r="C25">
        <v>2</v>
      </c>
      <c r="D25">
        <v>13.231999999999999</v>
      </c>
      <c r="E25">
        <f>C25*D25</f>
        <v>26.463999999999999</v>
      </c>
      <c r="F25" t="s">
        <v>5</v>
      </c>
    </row>
    <row r="26" spans="1:7">
      <c r="A26">
        <v>4</v>
      </c>
      <c r="B26" t="s">
        <v>30</v>
      </c>
      <c r="C26">
        <v>2</v>
      </c>
      <c r="D26">
        <v>1.452</v>
      </c>
      <c r="E26">
        <f>C26*D26</f>
        <v>2.9039999999999999</v>
      </c>
      <c r="F26" t="s">
        <v>5</v>
      </c>
    </row>
    <row r="27" spans="1:7">
      <c r="A27">
        <v>5</v>
      </c>
      <c r="B27" t="s">
        <v>31</v>
      </c>
      <c r="C27">
        <v>1</v>
      </c>
      <c r="D27">
        <v>1.5660000000000001</v>
      </c>
      <c r="E27">
        <f>C27*D27</f>
        <v>1.5660000000000001</v>
      </c>
      <c r="F27" t="s">
        <v>5</v>
      </c>
    </row>
    <row r="28" spans="1:7">
      <c r="A28">
        <v>6</v>
      </c>
      <c r="B28" t="s">
        <v>12</v>
      </c>
      <c r="C28">
        <v>2</v>
      </c>
      <c r="D28">
        <v>0.32600000000000001</v>
      </c>
      <c r="E28">
        <f>C28*D28</f>
        <v>0.65200000000000002</v>
      </c>
      <c r="F28" t="s">
        <v>5</v>
      </c>
    </row>
    <row r="29" spans="1:7">
      <c r="A29">
        <v>7</v>
      </c>
      <c r="B29" t="s">
        <v>32</v>
      </c>
      <c r="C29">
        <v>1</v>
      </c>
      <c r="D29">
        <v>1.06</v>
      </c>
      <c r="E29">
        <f>C29*D29</f>
        <v>1.06</v>
      </c>
      <c r="G29" t="s">
        <v>24</v>
      </c>
    </row>
    <row r="30" spans="1:7">
      <c r="A30">
        <v>8</v>
      </c>
      <c r="B30" t="s">
        <v>33</v>
      </c>
      <c r="C30">
        <v>1</v>
      </c>
      <c r="D30">
        <v>2.9660000000000002</v>
      </c>
      <c r="E30">
        <f>C30*D30</f>
        <v>2.9660000000000002</v>
      </c>
      <c r="F30" t="s">
        <v>5</v>
      </c>
    </row>
    <row r="31" spans="1:7">
      <c r="A31">
        <v>9</v>
      </c>
      <c r="B31" t="s">
        <v>34</v>
      </c>
      <c r="C31">
        <v>2</v>
      </c>
      <c r="D31">
        <v>11.71</v>
      </c>
      <c r="E31">
        <f>C31*D31</f>
        <v>23.42</v>
      </c>
      <c r="F31" t="s">
        <v>5</v>
      </c>
    </row>
    <row r="32" spans="1:7">
      <c r="A32">
        <v>10</v>
      </c>
      <c r="B32" t="s">
        <v>32</v>
      </c>
      <c r="C32">
        <v>1</v>
      </c>
      <c r="D32">
        <v>1.1599999999999999</v>
      </c>
      <c r="E32">
        <f>C32*D32</f>
        <v>1.1599999999999999</v>
      </c>
      <c r="G32" t="s">
        <v>24</v>
      </c>
    </row>
    <row r="33" spans="1:7">
      <c r="A33">
        <v>11</v>
      </c>
      <c r="B33" t="s">
        <v>35</v>
      </c>
      <c r="C33">
        <v>2</v>
      </c>
      <c r="D33">
        <v>4.97</v>
      </c>
      <c r="E33">
        <f>C33*D33</f>
        <v>9.94</v>
      </c>
      <c r="F33" t="s">
        <v>20</v>
      </c>
    </row>
    <row r="34" spans="1:7">
      <c r="A34">
        <v>12</v>
      </c>
      <c r="B34" t="s">
        <v>36</v>
      </c>
      <c r="C34">
        <v>1</v>
      </c>
      <c r="D34">
        <v>4.8</v>
      </c>
      <c r="E34">
        <f t="shared" ref="E34:E36" si="2">C34*D34</f>
        <v>4.8</v>
      </c>
      <c r="F34" t="s">
        <v>20</v>
      </c>
    </row>
    <row r="35" spans="1:7">
      <c r="A35">
        <v>13</v>
      </c>
      <c r="B35" t="s">
        <v>37</v>
      </c>
      <c r="C35">
        <v>1</v>
      </c>
      <c r="D35">
        <v>1.31</v>
      </c>
      <c r="E35">
        <f t="shared" si="2"/>
        <v>1.31</v>
      </c>
      <c r="F35" t="s">
        <v>20</v>
      </c>
    </row>
    <row r="36" spans="1:7">
      <c r="A36">
        <v>14</v>
      </c>
      <c r="B36" t="s">
        <v>38</v>
      </c>
      <c r="C36">
        <v>1</v>
      </c>
      <c r="D36">
        <v>0.22</v>
      </c>
      <c r="E36">
        <f t="shared" si="2"/>
        <v>0.22</v>
      </c>
      <c r="F36" t="s">
        <v>10</v>
      </c>
    </row>
    <row r="38" spans="1:7">
      <c r="A38" t="s">
        <v>39</v>
      </c>
    </row>
    <row r="39" spans="1:7">
      <c r="A39">
        <v>1</v>
      </c>
      <c r="B39" t="s">
        <v>40</v>
      </c>
      <c r="C39">
        <v>1</v>
      </c>
      <c r="D39">
        <v>3.01</v>
      </c>
      <c r="E39">
        <f>C39*D39</f>
        <v>3.01</v>
      </c>
      <c r="G39" t="s">
        <v>24</v>
      </c>
    </row>
    <row r="40" spans="1:7">
      <c r="A40">
        <v>2</v>
      </c>
      <c r="B40" t="s">
        <v>41</v>
      </c>
      <c r="C40">
        <v>1</v>
      </c>
      <c r="D40">
        <v>3.01</v>
      </c>
      <c r="E40">
        <f>C40*D40</f>
        <v>3.01</v>
      </c>
      <c r="G40" t="s">
        <v>24</v>
      </c>
    </row>
    <row r="41" spans="1:7">
      <c r="A41">
        <v>3</v>
      </c>
      <c r="B41" t="s">
        <v>42</v>
      </c>
      <c r="C41">
        <v>1</v>
      </c>
      <c r="D41">
        <v>3.01</v>
      </c>
      <c r="E41">
        <f>C41*D41</f>
        <v>3.01</v>
      </c>
      <c r="G41" t="s">
        <v>24</v>
      </c>
    </row>
    <row r="42" spans="1:7">
      <c r="A42">
        <v>4</v>
      </c>
      <c r="B42" t="s">
        <v>43</v>
      </c>
      <c r="C42">
        <v>1</v>
      </c>
      <c r="D42">
        <v>3.13</v>
      </c>
      <c r="E42">
        <f>C42*D42</f>
        <v>3.13</v>
      </c>
      <c r="F42" t="s">
        <v>5</v>
      </c>
    </row>
    <row r="43" spans="1:7">
      <c r="A43">
        <v>5</v>
      </c>
      <c r="B43" t="s">
        <v>15</v>
      </c>
      <c r="C43">
        <v>1</v>
      </c>
      <c r="D43">
        <v>4.88</v>
      </c>
      <c r="E43">
        <f>C43*D43</f>
        <v>4.88</v>
      </c>
      <c r="F43" s="2" t="s">
        <v>10</v>
      </c>
    </row>
    <row r="45" spans="1:7">
      <c r="A45" t="s">
        <v>44</v>
      </c>
    </row>
    <row r="46" spans="1:7">
      <c r="A46">
        <v>1</v>
      </c>
      <c r="B46" t="s">
        <v>45</v>
      </c>
      <c r="C46">
        <v>5</v>
      </c>
      <c r="D46">
        <v>0.56000000000000005</v>
      </c>
      <c r="E46">
        <f>C46*D46</f>
        <v>2.8000000000000003</v>
      </c>
      <c r="F46" t="s">
        <v>10</v>
      </c>
    </row>
    <row r="47" spans="1:7">
      <c r="A47">
        <v>2</v>
      </c>
      <c r="B47" t="s">
        <v>45</v>
      </c>
      <c r="C47">
        <v>1</v>
      </c>
      <c r="D47">
        <v>0.56000000000000005</v>
      </c>
      <c r="E47">
        <f>C47*D47</f>
        <v>0.56000000000000005</v>
      </c>
      <c r="F47" t="s">
        <v>10</v>
      </c>
    </row>
    <row r="52" spans="1:5">
      <c r="A52" s="1"/>
      <c r="B52" s="1"/>
      <c r="C52" s="1"/>
      <c r="D52" s="1"/>
      <c r="E52" s="1"/>
    </row>
    <row r="53" spans="1:5">
      <c r="D53" t="s">
        <v>46</v>
      </c>
      <c r="E53">
        <f>SUM(E6:E48)</f>
        <v>148.60999999999996</v>
      </c>
    </row>
    <row r="54" spans="1:5">
      <c r="D54" t="s">
        <v>47</v>
      </c>
      <c r="E54">
        <v>175</v>
      </c>
    </row>
    <row r="56" spans="1:5">
      <c r="C56" t="s">
        <v>48</v>
      </c>
      <c r="E56">
        <f>E54-E53</f>
        <v>26.390000000000043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7089bf-2a3c-4615-95bb-54d72738c43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A72AE9BFA83940A91FB93B81A32BD2" ma:contentTypeVersion="14" ma:contentTypeDescription="Create a new document." ma:contentTypeScope="" ma:versionID="8004490766d9aa977ddda6c028bb0ca4">
  <xsd:schema xmlns:xsd="http://www.w3.org/2001/XMLSchema" xmlns:xs="http://www.w3.org/2001/XMLSchema" xmlns:p="http://schemas.microsoft.com/office/2006/metadata/properties" xmlns:ns2="659df944-ed9e-4a30-a8d8-bbf6e4182c25" xmlns:ns3="b97089bf-2a3c-4615-95bb-54d72738c43f" targetNamespace="http://schemas.microsoft.com/office/2006/metadata/properties" ma:root="true" ma:fieldsID="536e1552ff6290dfb09c7972019a8d5a" ns2:_="" ns3:_="">
    <xsd:import namespace="659df944-ed9e-4a30-a8d8-bbf6e4182c25"/>
    <xsd:import namespace="b97089bf-2a3c-4615-95bb-54d72738c4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df944-ed9e-4a30-a8d8-bbf6e4182c2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089bf-2a3c-4615-95bb-54d72738c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52846C-8DA2-4BAA-AC3D-3F9E297AE894}"/>
</file>

<file path=customXml/itemProps2.xml><?xml version="1.0" encoding="utf-8"?>
<ds:datastoreItem xmlns:ds="http://schemas.openxmlformats.org/officeDocument/2006/customXml" ds:itemID="{A7ADFFED-233B-4B57-900C-CC8E198D8E3E}"/>
</file>

<file path=customXml/itemProps3.xml><?xml version="1.0" encoding="utf-8"?>
<ds:datastoreItem xmlns:ds="http://schemas.openxmlformats.org/officeDocument/2006/customXml" ds:itemID="{040B7C5C-03DA-4E0D-BDE7-8D4254098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Seoyun Yang</cp:lastModifiedBy>
  <cp:revision/>
  <dcterms:created xsi:type="dcterms:W3CDTF">2024-03-15T21:07:27Z</dcterms:created>
  <dcterms:modified xsi:type="dcterms:W3CDTF">2024-04-08T20:48:54Z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0x01010052A72AE9BFA83940A91FB93B81A32BD2</vt:lpwstr>
  </property>
  <property fmtid="{D5CDD505-2E9C-101B-9397-08002B2CF9AE}" pid="3" name="MediaServiceImageTags">
    <vt:lpwstr/>
  </property>
</Properties>
</file>